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abricio\"/>
    </mc:Choice>
  </mc:AlternateContent>
  <xr:revisionPtr revIDLastSave="0" documentId="13_ncr:1_{1ADA6DBB-2523-4D60-B338-E29AF3E480B1}" xr6:coauthVersionLast="47" xr6:coauthVersionMax="47" xr10:uidLastSave="{00000000-0000-0000-0000-000000000000}"/>
  <bookViews>
    <workbookView xWindow="-120" yWindow="-120" windowWidth="24240" windowHeight="13140" tabRatio="70" xr2:uid="{0B0F3F14-660B-441A-925B-873763C1EB3A}"/>
  </bookViews>
  <sheets>
    <sheet name="Simulador" sheetId="1" r:id="rId1"/>
    <sheet name="Apoio_Perfis" sheetId="2" r:id="rId2"/>
  </sheets>
  <definedNames>
    <definedName name="aporte">Simulador!$D$16</definedName>
    <definedName name="patrimonio">Simulador!$D$19</definedName>
    <definedName name="qtd_anos">Simulador!$D$17</definedName>
    <definedName name="rendimento_carteira">Simulador!$D$12</definedName>
    <definedName name="salario">Simulador!$D$11</definedName>
    <definedName name="sugestao_investimento">Simulador!$D$13</definedName>
    <definedName name="taxa_mensal">Simulador!$D$18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D20" i="1" s="1"/>
  <c r="H4" i="2"/>
  <c r="A3" i="2"/>
  <c r="C23" i="1"/>
  <c r="D23" i="1" s="1"/>
  <c r="C33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C40" i="1" s="1"/>
  <c r="D40" i="1" s="1"/>
  <c r="A6" i="2"/>
  <c r="A7" i="2"/>
  <c r="A8" i="2"/>
  <c r="D13" i="1"/>
  <c r="C24" i="1"/>
  <c r="D24" i="1" s="1"/>
  <c r="C25" i="1"/>
  <c r="D25" i="1" s="1"/>
  <c r="C26" i="1"/>
  <c r="D26" i="1" s="1"/>
  <c r="C27" i="1"/>
  <c r="D27" i="1" s="1"/>
  <c r="C37" i="1" l="1"/>
  <c r="D37" i="1" s="1"/>
  <c r="C39" i="1"/>
  <c r="D39" i="1" s="1"/>
  <c r="C38" i="1"/>
  <c r="D38" i="1" s="1"/>
  <c r="C36" i="1"/>
  <c r="D36" i="1" s="1"/>
  <c r="C41" i="1"/>
  <c r="D41" i="1" s="1"/>
  <c r="D42" i="1" l="1"/>
</calcChain>
</file>

<file path=xl/sharedStrings.xml><?xml version="1.0" encoding="utf-8"?>
<sst xmlns="http://schemas.openxmlformats.org/spreadsheetml/2006/main" count="71" uniqueCount="36">
  <si>
    <t>INVESTIMENTO MENSAL</t>
  </si>
  <si>
    <t>Quanto investir por mês?</t>
  </si>
  <si>
    <t>Por quantos anos?</t>
  </si>
  <si>
    <t>Taxa de Rendimentos mensal?</t>
  </si>
  <si>
    <t>Dividendos mensais?</t>
  </si>
  <si>
    <t>Patrimônio acumulado?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</si>
  <si>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</si>
  <si>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</si>
  <si>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</si>
  <si>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</si>
  <si>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</si>
  <si>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</si>
  <si>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Cenários</t>
  </si>
  <si>
    <t xml:space="preserve">Salário </t>
  </si>
  <si>
    <t>Rendimento carteira</t>
  </si>
  <si>
    <t>Sugestão de investimento</t>
  </si>
  <si>
    <t>CONFIGURAÇÕES</t>
  </si>
  <si>
    <t>AGRESSIVO</t>
  </si>
  <si>
    <t>PERFIL</t>
  </si>
  <si>
    <t xml:space="preserve">VALOR A SER INVESTIDO POR MÊS 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</si>
  <si>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</si>
  <si>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</si>
  <si>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</si>
  <si>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</si>
  <si>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</si>
  <si>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</si>
  <si>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</si>
  <si>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DESENVOLVIMENTOS</t>
  </si>
  <si>
    <t>HOTELARIAS</t>
  </si>
  <si>
    <t>PERFIS</t>
  </si>
  <si>
    <t>%</t>
  </si>
  <si>
    <t>CHAVE</t>
  </si>
  <si>
    <t>MODERADO</t>
  </si>
  <si>
    <t>MODERADO-TIJOLO</t>
  </si>
  <si>
    <t>Agressivo</t>
  </si>
  <si>
    <t>CONSERVADOR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</si>
</sst>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20"/>
      <color theme="0" tint="-4.9989318521683403E-2"/>
      <name val="Segoe UI"/>
      <family val="2"/>
    </font>
    <font>
      <b/>
      <sz val="12"/>
      <color theme="0" tint="-4.9989318521683403E-2"/>
      <name val="Segoe UI"/>
      <family val="2"/>
    </font>
    <font>
      <b/>
      <sz val="14"/>
      <color theme="0"/>
      <name val="Segoe UI"/>
      <family val="2"/>
    </font>
    <font>
      <sz val="12"/>
      <color rgb="FF9C570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tted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dotted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dotted">
        <color theme="0" tint="-0.14996795556505021"/>
      </bottom>
      <diagonal/>
    </border>
    <border>
      <left style="medium">
        <color indexed="64"/>
      </left>
      <right style="dashDotDot">
        <color theme="0" tint="-0.34998626667073579"/>
      </right>
      <top style="dashDotDot">
        <color theme="0" tint="-0.34998626667073579"/>
      </top>
      <bottom style="dashDotDot">
        <color theme="0" tint="-0.34998626667073579"/>
      </bottom>
      <diagonal/>
    </border>
    <border>
      <left style="dashDotDot">
        <color theme="0" tint="-0.34998626667073579"/>
      </left>
      <right style="dashDotDot">
        <color theme="0" tint="-0.34998626667073579"/>
      </right>
      <top style="dashDotDot">
        <color theme="0" tint="-0.34998626667073579"/>
      </top>
      <bottom style="dashDotDot">
        <color theme="0" tint="-0.34998626667073579"/>
      </bottom>
      <diagonal/>
    </border>
    <border>
      <left style="dashDotDot">
        <color theme="0" tint="-0.34998626667073579"/>
      </left>
      <right style="medium">
        <color indexed="64"/>
      </right>
      <top style="dashDotDot">
        <color theme="0" tint="-0.34998626667073579"/>
      </top>
      <bottom style="dashDotDot">
        <color theme="0" tint="-0.34998626667073579"/>
      </bottom>
      <diagonal/>
    </border>
    <border>
      <left style="medium">
        <color indexed="64"/>
      </left>
      <right style="dashDotDot">
        <color theme="0" tint="-0.34998626667073579"/>
      </right>
      <top style="dashDotDot">
        <color theme="0" tint="-0.34998626667073579"/>
      </top>
      <bottom style="medium">
        <color indexed="64"/>
      </bottom>
      <diagonal/>
    </border>
    <border>
      <left style="dashDotDot">
        <color theme="0" tint="-0.34998626667073579"/>
      </left>
      <right style="dashDotDot">
        <color theme="0" tint="-0.34998626667073579"/>
      </right>
      <top style="dashDotDot">
        <color theme="0" tint="-0.34998626667073579"/>
      </top>
      <bottom style="medium">
        <color indexed="64"/>
      </bottom>
      <diagonal/>
    </border>
    <border>
      <left style="dashDotDot">
        <color theme="0" tint="-0.34998626667073579"/>
      </left>
      <right style="medium">
        <color indexed="64"/>
      </right>
      <top style="dashDotDot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dashDotDot">
        <color theme="0" tint="-0.34998626667073579"/>
      </right>
      <top style="dotted">
        <color theme="0" tint="-0.14996795556505021"/>
      </top>
      <bottom style="dashDotDot">
        <color theme="0" tint="-0.34998626667073579"/>
      </bottom>
      <diagonal/>
    </border>
    <border>
      <left style="dashDotDot">
        <color theme="0" tint="-0.34998626667073579"/>
      </left>
      <right style="dashDotDot">
        <color theme="0" tint="-0.34998626667073579"/>
      </right>
      <top style="dotted">
        <color theme="0" tint="-0.14996795556505021"/>
      </top>
      <bottom style="dashDotDot">
        <color theme="0" tint="-0.34998626667073579"/>
      </bottom>
      <diagonal/>
    </border>
    <border>
      <left style="dashDotDot">
        <color theme="0" tint="-0.34998626667073579"/>
      </left>
      <right style="medium">
        <color indexed="64"/>
      </right>
      <top style="dotted">
        <color theme="0" tint="-0.14996795556505021"/>
      </top>
      <bottom style="dashDotDot">
        <color theme="0" tint="-0.34998626667073579"/>
      </bottom>
      <diagonal/>
    </border>
    <border>
      <left style="medium">
        <color indexed="64"/>
      </left>
      <right style="dashDotDot">
        <color theme="0" tint="-0.34998626667073579"/>
      </right>
      <top/>
      <bottom style="dashDotDot">
        <color theme="0" tint="-0.34998626667073579"/>
      </bottom>
      <diagonal/>
    </border>
    <border>
      <left style="dashDotDot">
        <color theme="0" tint="-0.34998626667073579"/>
      </left>
      <right style="dashDotDot">
        <color theme="0" tint="-0.34998626667073579"/>
      </right>
      <top/>
      <bottom style="dashDotDot">
        <color theme="0" tint="-0.34998626667073579"/>
      </bottom>
      <diagonal/>
    </border>
    <border>
      <left style="dashDotDot">
        <color theme="0" tint="-0.34998626667073579"/>
      </left>
      <right style="medium">
        <color indexed="64"/>
      </right>
      <top/>
      <bottom style="dashDotDot">
        <color theme="0" tint="-0.34998626667073579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theme="0" tint="-0.24994659260841701"/>
      </right>
      <top/>
      <bottom style="dotted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/>
      <bottom style="dotted">
        <color theme="0" tint="-0.24994659260841701"/>
      </bottom>
      <diagonal/>
    </border>
    <border>
      <left style="dotted">
        <color theme="0" tint="-0.24994659260841701"/>
      </left>
      <right style="medium">
        <color indexed="64"/>
      </right>
      <top/>
      <bottom style="dotted">
        <color theme="0" tint="-0.24994659260841701"/>
      </bottom>
      <diagonal/>
    </border>
    <border>
      <left style="medium">
        <color indexed="64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medium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indexed="64"/>
      </left>
      <right style="dotted">
        <color theme="0" tint="-0.24994659260841701"/>
      </right>
      <top style="dotted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/>
      <diagonal/>
    </border>
    <border>
      <left style="dotted">
        <color theme="0" tint="-0.24994659260841701"/>
      </left>
      <right style="medium">
        <color indexed="64"/>
      </right>
      <top style="dotted">
        <color theme="0" tint="-0.2499465926084170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6" borderId="0" applyNumberFormat="0" applyBorder="0" applyAlignment="0" applyProtection="0"/>
  </cellStyleXfs>
  <cellXfs count="66">
    <xf numFmtId="0" fontId="0" fillId="0" borderId="0" xfId="0"/>
    <xf numFmtId="8" fontId="0" fillId="0" borderId="0" xfId="0" applyNumberFormat="1"/>
    <xf numFmtId="0" fontId="3" fillId="4" borderId="0" xfId="0" applyFont="1" applyFill="1"/>
    <xf numFmtId="0" fontId="0" fillId="0" borderId="0" xfId="0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6" fillId="3" borderId="7" xfId="0" applyFont="1" applyFill="1" applyBorder="1" applyAlignment="1">
      <alignment horizontal="left" indent="3"/>
    </xf>
    <xf numFmtId="10" fontId="0" fillId="0" borderId="9" xfId="0" applyNumberFormat="1" applyBorder="1" applyAlignment="1">
      <alignment horizontal="center" vertical="center"/>
    </xf>
    <xf numFmtId="0" fontId="6" fillId="3" borderId="10" xfId="0" applyFont="1" applyFill="1" applyBorder="1" applyAlignment="1">
      <alignment horizontal="left" indent="3"/>
    </xf>
    <xf numFmtId="164" fontId="0" fillId="3" borderId="12" xfId="0" applyNumberFormat="1" applyFill="1" applyBorder="1" applyAlignment="1">
      <alignment horizontal="center"/>
    </xf>
    <xf numFmtId="164" fontId="2" fillId="0" borderId="15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0" fontId="2" fillId="0" borderId="9" xfId="1" applyNumberFormat="1" applyFont="1" applyBorder="1" applyAlignment="1">
      <alignment horizontal="center" vertical="center"/>
    </xf>
    <xf numFmtId="8" fontId="2" fillId="3" borderId="9" xfId="0" applyNumberFormat="1" applyFont="1" applyFill="1" applyBorder="1" applyAlignment="1">
      <alignment horizontal="center" vertical="center"/>
    </xf>
    <xf numFmtId="8" fontId="2" fillId="3" borderId="12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left" indent="3"/>
    </xf>
    <xf numFmtId="164" fontId="0" fillId="3" borderId="17" xfId="0" applyNumberFormat="1" applyFill="1" applyBorder="1" applyAlignment="1">
      <alignment horizontal="center"/>
    </xf>
    <xf numFmtId="164" fontId="0" fillId="3" borderId="18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10" fillId="5" borderId="2" xfId="0" applyFont="1" applyFill="1" applyBorder="1" applyAlignment="1">
      <alignment vertical="center"/>
    </xf>
    <xf numFmtId="0" fontId="4" fillId="6" borderId="0" xfId="2"/>
    <xf numFmtId="0" fontId="11" fillId="6" borderId="0" xfId="2" applyFont="1"/>
    <xf numFmtId="0" fontId="11" fillId="6" borderId="0" xfId="2" applyFont="1" applyAlignment="1">
      <alignment horizontal="center"/>
    </xf>
    <xf numFmtId="0" fontId="5" fillId="3" borderId="0" xfId="0" applyFont="1" applyFill="1"/>
    <xf numFmtId="164" fontId="5" fillId="0" borderId="0" xfId="0" applyNumberFormat="1" applyFont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9" xfId="0" applyNumberFormat="1" applyBorder="1" applyAlignment="1">
      <alignment horizontal="center"/>
    </xf>
    <xf numFmtId="0" fontId="7" fillId="3" borderId="10" xfId="0" applyFont="1" applyFill="1" applyBorder="1" applyAlignment="1">
      <alignment horizontal="left" indent="3"/>
    </xf>
    <xf numFmtId="0" fontId="7" fillId="3" borderId="11" xfId="0" applyFont="1" applyFill="1" applyBorder="1" applyAlignment="1">
      <alignment horizontal="left" indent="3"/>
    </xf>
    <xf numFmtId="0" fontId="10" fillId="5" borderId="1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left" indent="3"/>
    </xf>
    <xf numFmtId="0" fontId="6" fillId="3" borderId="14" xfId="0" applyFont="1" applyFill="1" applyBorder="1" applyAlignment="1">
      <alignment horizontal="left" indent="3"/>
    </xf>
    <xf numFmtId="0" fontId="6" fillId="3" borderId="7" xfId="0" applyFont="1" applyFill="1" applyBorder="1" applyAlignment="1">
      <alignment horizontal="left" indent="3"/>
    </xf>
    <xf numFmtId="0" fontId="6" fillId="3" borderId="8" xfId="0" applyFont="1" applyFill="1" applyBorder="1" applyAlignment="1">
      <alignment horizontal="left" indent="3"/>
    </xf>
    <xf numFmtId="0" fontId="7" fillId="3" borderId="7" xfId="0" applyFont="1" applyFill="1" applyBorder="1" applyAlignment="1">
      <alignment horizontal="left" indent="3"/>
    </xf>
    <xf numFmtId="0" fontId="7" fillId="3" borderId="8" xfId="0" applyFont="1" applyFill="1" applyBorder="1" applyAlignment="1">
      <alignment horizontal="left" indent="3"/>
    </xf>
    <xf numFmtId="0" fontId="8" fillId="2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left" indent="3"/>
    </xf>
    <xf numFmtId="0" fontId="6" fillId="3" borderId="17" xfId="0" applyFont="1" applyFill="1" applyBorder="1" applyAlignment="1">
      <alignment horizontal="left" indent="3"/>
    </xf>
    <xf numFmtId="0" fontId="6" fillId="3" borderId="10" xfId="0" applyFont="1" applyFill="1" applyBorder="1" applyAlignment="1">
      <alignment horizontal="left" indent="3"/>
    </xf>
    <xf numFmtId="0" fontId="6" fillId="3" borderId="11" xfId="0" applyFont="1" applyFill="1" applyBorder="1" applyAlignment="1">
      <alignment horizontal="left" indent="3"/>
    </xf>
    <xf numFmtId="10" fontId="4" fillId="6" borderId="0" xfId="2" applyNumberFormat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3" xfId="0" applyFont="1" applyFill="1" applyBorder="1"/>
    <xf numFmtId="0" fontId="5" fillId="7" borderId="2" xfId="0" applyFont="1" applyFill="1" applyBorder="1"/>
    <xf numFmtId="0" fontId="0" fillId="7" borderId="20" xfId="0" applyFill="1" applyBorder="1"/>
    <xf numFmtId="0" fontId="0" fillId="7" borderId="19" xfId="0" applyFill="1" applyBorder="1"/>
    <xf numFmtId="164" fontId="0" fillId="7" borderId="21" xfId="0" applyNumberFormat="1" applyFill="1" applyBorder="1"/>
    <xf numFmtId="0" fontId="0" fillId="0" borderId="22" xfId="0" applyBorder="1" applyAlignment="1">
      <alignment horizontal="center"/>
    </xf>
    <xf numFmtId="9" fontId="0" fillId="0" borderId="23" xfId="0" applyNumberFormat="1" applyBorder="1"/>
    <xf numFmtId="0" fontId="0" fillId="0" borderId="24" xfId="0" applyNumberFormat="1" applyBorder="1"/>
    <xf numFmtId="0" fontId="0" fillId="0" borderId="25" xfId="0" applyBorder="1" applyAlignment="1">
      <alignment horizontal="center"/>
    </xf>
    <xf numFmtId="9" fontId="0" fillId="0" borderId="26" xfId="0" applyNumberFormat="1" applyBorder="1"/>
    <xf numFmtId="164" fontId="0" fillId="0" borderId="27" xfId="0" applyNumberFormat="1" applyBorder="1"/>
    <xf numFmtId="0" fontId="0" fillId="0" borderId="28" xfId="0" applyBorder="1" applyAlignment="1">
      <alignment horizontal="center"/>
    </xf>
    <xf numFmtId="9" fontId="0" fillId="0" borderId="29" xfId="0" applyNumberFormat="1" applyBorder="1"/>
    <xf numFmtId="164" fontId="0" fillId="0" borderId="30" xfId="0" applyNumberFormat="1" applyBorder="1"/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DESENVOLVIMENTOS</c:v>
                </c:pt>
                <c:pt idx="5">
                  <c:v>HOTELARIAS</c:v>
                </c:pt>
              </c:strCache>
            </c:strRef>
          </c:cat>
          <c:val>
            <c:numRef>
              <c:f>Simulador!$C$36:$C$41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B-4DCF-9753-EDE9266FA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47625</xdr:rowOff>
    </xdr:from>
    <xdr:to>
      <xdr:col>3</xdr:col>
      <xdr:colOff>857249</xdr:colOff>
      <xdr:row>8</xdr:row>
      <xdr:rowOff>79830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8103A74-B7AA-4A4B-A024-CE4307C255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0" y="47625"/>
          <a:ext cx="6467474" cy="1556205"/>
        </a:xfrm>
        <a:prstGeom prst="rect">
          <a:avLst/>
        </a:prstGeom>
      </xdr:spPr>
    </xdr:pic>
    <xdr:clientData/>
  </xdr:twoCellAnchor>
  <xdr:twoCellAnchor>
    <xdr:from>
      <xdr:col>0</xdr:col>
      <xdr:colOff>599514</xdr:colOff>
      <xdr:row>43</xdr:row>
      <xdr:rowOff>112057</xdr:rowOff>
    </xdr:from>
    <xdr:to>
      <xdr:col>3</xdr:col>
      <xdr:colOff>885264</xdr:colOff>
      <xdr:row>54</xdr:row>
      <xdr:rowOff>22410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174836-181D-1F60-1A19-8FBD05E3F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5C537-ED8D-4D3D-8439-585871C76A2F}">
  <dimension ref="A9:H1048565"/>
  <sheetViews>
    <sheetView showGridLines="0" showRowColHeaders="0" tabSelected="1" zoomScale="85" zoomScaleNormal="85" workbookViewId="0">
      <selection activeCell="C32" sqref="C32"/>
    </sheetView>
  </sheetViews>
  <sheetFormatPr defaultColWidth="0" defaultRowHeight="15" x14ac:dyDescent="0.25"/>
  <cols>
    <col min="1" max="1" width="9.140625" customWidth="1"/>
    <col min="2" max="2" width="47.42578125" customWidth="1"/>
    <col min="3" max="3" width="27.5703125" customWidth="1"/>
    <col min="4" max="4" width="15" bestFit="1" customWidth="1"/>
    <col min="5" max="5" width="6.140625" customWidth="1"/>
    <col min="6" max="6" width="4.140625" customWidth="1"/>
    <col min="7" max="7" width="4" customWidth="1"/>
    <col min="8" max="8" width="3.42578125" customWidth="1"/>
    <col min="9" max="11" width="9.140625" hidden="1" customWidth="1"/>
    <col min="12" max="16384" width="9.140625" hidden="1"/>
  </cols>
  <sheetData>
    <row r="9" spans="2:4" ht="15.75" thickBot="1" x14ac:dyDescent="0.3"/>
    <row r="10" spans="2:4" ht="20.25" x14ac:dyDescent="0.25">
      <c r="B10" s="36" t="s">
        <v>16</v>
      </c>
      <c r="C10" s="37"/>
      <c r="D10" s="24"/>
    </row>
    <row r="11" spans="2:4" ht="15.75" x14ac:dyDescent="0.25">
      <c r="B11" s="46" t="s">
        <v>13</v>
      </c>
      <c r="C11" s="47"/>
      <c r="D11" s="23">
        <v>2000</v>
      </c>
    </row>
    <row r="12" spans="2:4" ht="15.75" x14ac:dyDescent="0.25">
      <c r="B12" s="40" t="s">
        <v>14</v>
      </c>
      <c r="C12" s="41"/>
      <c r="D12" s="9">
        <v>6.0000000000000001E-3</v>
      </c>
    </row>
    <row r="13" spans="2:4" ht="16.5" thickBot="1" x14ac:dyDescent="0.3">
      <c r="B13" s="48" t="s">
        <v>15</v>
      </c>
      <c r="C13" s="49"/>
      <c r="D13" s="11">
        <f>D11*30%</f>
        <v>600</v>
      </c>
    </row>
    <row r="14" spans="2:4" ht="15.75" thickBot="1" x14ac:dyDescent="0.3"/>
    <row r="15" spans="2:4" ht="30.75" x14ac:dyDescent="0.25">
      <c r="B15" s="44" t="s">
        <v>0</v>
      </c>
      <c r="C15" s="45"/>
      <c r="D15" s="7"/>
    </row>
    <row r="16" spans="2:4" ht="17.25" x14ac:dyDescent="0.25">
      <c r="B16" s="38" t="s">
        <v>1</v>
      </c>
      <c r="C16" s="39"/>
      <c r="D16" s="12">
        <v>200</v>
      </c>
    </row>
    <row r="17" spans="1:4" ht="17.25" x14ac:dyDescent="0.25">
      <c r="B17" s="40" t="s">
        <v>2</v>
      </c>
      <c r="C17" s="41"/>
      <c r="D17" s="13">
        <v>5</v>
      </c>
    </row>
    <row r="18" spans="1:4" ht="17.25" x14ac:dyDescent="0.25">
      <c r="B18" s="40" t="s">
        <v>3</v>
      </c>
      <c r="C18" s="41"/>
      <c r="D18" s="14">
        <v>1.0800000000000001E-2</v>
      </c>
    </row>
    <row r="19" spans="1:4" ht="17.25" x14ac:dyDescent="0.25">
      <c r="B19" s="42" t="s">
        <v>5</v>
      </c>
      <c r="C19" s="43"/>
      <c r="D19" s="15">
        <f>FV(taxa_mensal,qtd_anos*12,aporte*-1)</f>
        <v>16760.803871851687</v>
      </c>
    </row>
    <row r="20" spans="1:4" ht="18" thickBot="1" x14ac:dyDescent="0.3">
      <c r="B20" s="34" t="s">
        <v>4</v>
      </c>
      <c r="C20" s="35"/>
      <c r="D20" s="16">
        <f>patrimonio*rendimento_carteira</f>
        <v>100.56482323111013</v>
      </c>
    </row>
    <row r="21" spans="1:4" ht="15.75" thickBot="1" x14ac:dyDescent="0.3"/>
    <row r="22" spans="1:4" ht="30.75" x14ac:dyDescent="0.25">
      <c r="B22" s="4" t="s">
        <v>12</v>
      </c>
      <c r="C22" s="5"/>
      <c r="D22" s="6" t="s">
        <v>11</v>
      </c>
    </row>
    <row r="23" spans="1:4" ht="15.75" x14ac:dyDescent="0.25">
      <c r="A23" s="2">
        <v>2</v>
      </c>
      <c r="B23" s="17" t="s">
        <v>6</v>
      </c>
      <c r="C23" s="18">
        <f>FV($D$18,$A23*12,$D$16*-1)</f>
        <v>5446.172732116318</v>
      </c>
      <c r="D23" s="19">
        <f>C23*rendimento_carteira</f>
        <v>32.677036392697907</v>
      </c>
    </row>
    <row r="24" spans="1:4" ht="15.75" x14ac:dyDescent="0.25">
      <c r="A24" s="2">
        <v>5</v>
      </c>
      <c r="B24" s="8" t="s">
        <v>7</v>
      </c>
      <c r="C24" s="20">
        <f>FV($D$18,$A24*12,$D$16*-1)</f>
        <v>16760.803871851687</v>
      </c>
      <c r="D24" s="21">
        <f>C24*rendimento_carteira</f>
        <v>100.56482323111013</v>
      </c>
    </row>
    <row r="25" spans="1:4" ht="15.75" x14ac:dyDescent="0.25">
      <c r="A25" s="2">
        <v>10</v>
      </c>
      <c r="B25" s="8" t="s">
        <v>8</v>
      </c>
      <c r="C25" s="20">
        <f>FV($D$18,$A25*12,$D$16*-1)</f>
        <v>48691.533250960019</v>
      </c>
      <c r="D25" s="21">
        <f>C25*rendimento_carteira</f>
        <v>292.14919950576012</v>
      </c>
    </row>
    <row r="26" spans="1:4" ht="15.75" x14ac:dyDescent="0.25">
      <c r="A26" s="2">
        <v>20</v>
      </c>
      <c r="B26" s="8" t="s">
        <v>9</v>
      </c>
      <c r="C26" s="20">
        <f>FV($D$18,$A26*12,$D$16*-1)</f>
        <v>225409.79865970465</v>
      </c>
      <c r="D26" s="21">
        <f>C26*rendimento_carteira</f>
        <v>1352.4587919582279</v>
      </c>
    </row>
    <row r="27" spans="1:4" ht="16.5" thickBot="1" x14ac:dyDescent="0.3">
      <c r="A27" s="2">
        <v>30</v>
      </c>
      <c r="B27" s="10" t="s">
        <v>10</v>
      </c>
      <c r="C27" s="22">
        <f>FV($D$18,$A27*12,$D$16*-1)</f>
        <v>866780.96206335025</v>
      </c>
      <c r="D27" s="11">
        <f>C27*rendimento_carteira</f>
        <v>5200.6857723801013</v>
      </c>
    </row>
    <row r="28" spans="1:4" x14ac:dyDescent="0.25">
      <c r="D28" s="1"/>
    </row>
    <row r="32" spans="1:4" ht="15.75" x14ac:dyDescent="0.25">
      <c r="B32" s="26" t="s">
        <v>18</v>
      </c>
      <c r="C32" s="27" t="s">
        <v>34</v>
      </c>
      <c r="D32" s="25"/>
    </row>
    <row r="33" spans="2:4" x14ac:dyDescent="0.25">
      <c r="B33" s="28" t="s">
        <v>19</v>
      </c>
      <c r="C33" s="29">
        <f>aporte</f>
        <v>200</v>
      </c>
    </row>
    <row r="34" spans="2:4" ht="15.75" thickBot="1" x14ac:dyDescent="0.3"/>
    <row r="35" spans="2:4" x14ac:dyDescent="0.25">
      <c r="B35" s="51" t="s">
        <v>20</v>
      </c>
      <c r="C35" s="52" t="s">
        <v>21</v>
      </c>
      <c r="D35" s="53" t="s">
        <v>22</v>
      </c>
    </row>
    <row r="36" spans="2:4" x14ac:dyDescent="0.25">
      <c r="B36" s="57" t="s">
        <v>23</v>
      </c>
      <c r="C36" s="58">
        <f>VLOOKUP($C$32&amp;"-"&amp;B36,Apoio_Perfis!$A:$D,4,)</f>
        <v>0.5</v>
      </c>
      <c r="D36" s="59">
        <f>C36*$C$33</f>
        <v>100</v>
      </c>
    </row>
    <row r="37" spans="2:4" x14ac:dyDescent="0.25">
      <c r="B37" s="60" t="s">
        <v>24</v>
      </c>
      <c r="C37" s="61">
        <f>VLOOKUP($C$32&amp;"-"&amp;B37,Apoio_Perfis!$A:$D,4,)</f>
        <v>0.1</v>
      </c>
      <c r="D37" s="62">
        <f t="shared" ref="D37:D41" si="0">C37*$C$33</f>
        <v>20</v>
      </c>
    </row>
    <row r="38" spans="2:4" x14ac:dyDescent="0.25">
      <c r="B38" s="60" t="s">
        <v>25</v>
      </c>
      <c r="C38" s="61">
        <f>VLOOKUP($C$32&amp;"-"&amp;B38,Apoio_Perfis!$A:$D,4,)</f>
        <v>0.05</v>
      </c>
      <c r="D38" s="62">
        <f t="shared" si="0"/>
        <v>10</v>
      </c>
    </row>
    <row r="39" spans="2:4" x14ac:dyDescent="0.25">
      <c r="B39" s="60" t="s">
        <v>26</v>
      </c>
      <c r="C39" s="61">
        <f>VLOOKUP($C$32&amp;"-"&amp;B39,Apoio_Perfis!$A:$D,4,)</f>
        <v>0.05</v>
      </c>
      <c r="D39" s="62">
        <f t="shared" si="0"/>
        <v>10</v>
      </c>
    </row>
    <row r="40" spans="2:4" x14ac:dyDescent="0.25">
      <c r="B40" s="60" t="s">
        <v>27</v>
      </c>
      <c r="C40" s="61">
        <f>VLOOKUP($C$32&amp;"-"&amp;B40,Apoio_Perfis!$A:$D,4,)</f>
        <v>0.2</v>
      </c>
      <c r="D40" s="62">
        <f t="shared" si="0"/>
        <v>40</v>
      </c>
    </row>
    <row r="41" spans="2:4" x14ac:dyDescent="0.25">
      <c r="B41" s="63" t="s">
        <v>28</v>
      </c>
      <c r="C41" s="64">
        <f>VLOOKUP($C$32&amp;"-"&amp;B41,Apoio_Perfis!$A:$D,4,)</f>
        <v>0.1</v>
      </c>
      <c r="D41" s="65">
        <f t="shared" si="0"/>
        <v>20</v>
      </c>
    </row>
    <row r="42" spans="2:4" ht="15.75" thickBot="1" x14ac:dyDescent="0.3">
      <c r="B42" s="54"/>
      <c r="C42" s="55"/>
      <c r="D42" s="56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48565" hidden="1" x14ac:dyDescent="0.25"/>
  </sheetData>
  <mergeCells count="10">
    <mergeCell ref="B20:C20"/>
    <mergeCell ref="B10:C10"/>
    <mergeCell ref="B16:C16"/>
    <mergeCell ref="B17:C17"/>
    <mergeCell ref="B18:C18"/>
    <mergeCell ref="B19:C19"/>
    <mergeCell ref="B15:C15"/>
    <mergeCell ref="B11:C11"/>
    <mergeCell ref="B12:C12"/>
    <mergeCell ref="B13:C13"/>
  </mergeCells>
  <dataValidations count="1">
    <dataValidation type="list" allowBlank="1" showInputMessage="1" showErrorMessage="1" sqref="C32" xr:uid="{C9D91FDC-BB7F-4CB9-9AF9-B631ABD9951B}">
      <formula1>"Conservador, Moderado, Agressivo,"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EECF-D1B5-494C-90E8-1A4D09DDDA7C}">
  <dimension ref="A2:H20"/>
  <sheetViews>
    <sheetView workbookViewId="0">
      <selection activeCell="G5" sqref="G5"/>
    </sheetView>
  </sheetViews>
  <sheetFormatPr defaultRowHeight="15" x14ac:dyDescent="0.25"/>
  <cols>
    <col min="1" max="1" width="34.85546875" bestFit="1" customWidth="1"/>
    <col min="2" max="2" width="14.7109375" bestFit="1" customWidth="1"/>
    <col min="3" max="3" width="20" bestFit="1" customWidth="1"/>
    <col min="7" max="7" width="18.5703125" bestFit="1" customWidth="1"/>
  </cols>
  <sheetData>
    <row r="2" spans="1:8" x14ac:dyDescent="0.25">
      <c r="A2" t="s">
        <v>31</v>
      </c>
      <c r="B2" t="s">
        <v>29</v>
      </c>
      <c r="C2" t="s">
        <v>20</v>
      </c>
      <c r="D2" s="3" t="s">
        <v>30</v>
      </c>
    </row>
    <row r="3" spans="1:8" x14ac:dyDescent="0.25">
      <c r="A3" t="str">
        <f>B3&amp;"-"&amp;C3</f>
        <v>CONSERVADOR-PAPEL</v>
      </c>
      <c r="B3" t="s">
        <v>35</v>
      </c>
      <c r="C3" s="3" t="s">
        <v>23</v>
      </c>
      <c r="D3" s="32">
        <v>0.3</v>
      </c>
      <c r="H3" s="3" t="s">
        <v>30</v>
      </c>
    </row>
    <row r="4" spans="1:8" x14ac:dyDescent="0.25">
      <c r="A4" t="str">
        <f t="shared" ref="A4:A20" si="0">B4&amp;"-"&amp;C4</f>
        <v>CONSERVADOR-TIJOLO</v>
      </c>
      <c r="B4" t="s">
        <v>35</v>
      </c>
      <c r="C4" s="3" t="s">
        <v>24</v>
      </c>
      <c r="D4" s="32">
        <v>0.5</v>
      </c>
      <c r="G4" s="25" t="s">
        <v>33</v>
      </c>
      <c r="H4" s="50">
        <f>VLOOKUP(G4,$A:$D,4,)</f>
        <v>0.35</v>
      </c>
    </row>
    <row r="5" spans="1:8" x14ac:dyDescent="0.25">
      <c r="A5" t="str">
        <f t="shared" si="0"/>
        <v>CONSERVADOR-HÍBRIDOS</v>
      </c>
      <c r="B5" t="s">
        <v>35</v>
      </c>
      <c r="C5" s="3" t="s">
        <v>25</v>
      </c>
      <c r="D5" s="32">
        <v>0.1</v>
      </c>
      <c r="H5" s="3"/>
    </row>
    <row r="6" spans="1:8" x14ac:dyDescent="0.25">
      <c r="A6" t="str">
        <f t="shared" si="0"/>
        <v>CONSERVADOR-FOFs</v>
      </c>
      <c r="B6" t="s">
        <v>35</v>
      </c>
      <c r="C6" s="3" t="s">
        <v>26</v>
      </c>
      <c r="D6" s="32">
        <v>0.1</v>
      </c>
    </row>
    <row r="7" spans="1:8" x14ac:dyDescent="0.25">
      <c r="A7" t="str">
        <f t="shared" si="0"/>
        <v>CONSERVADOR-DESENVOLVIMENTOS</v>
      </c>
      <c r="B7" t="s">
        <v>35</v>
      </c>
      <c r="C7" s="3" t="s">
        <v>27</v>
      </c>
      <c r="D7" s="32">
        <v>0</v>
      </c>
    </row>
    <row r="8" spans="1:8" ht="15.75" thickBot="1" x14ac:dyDescent="0.3">
      <c r="A8" s="30" t="str">
        <f t="shared" si="0"/>
        <v>CONSERVADOR-HOTELARIAS</v>
      </c>
      <c r="B8" s="30" t="s">
        <v>35</v>
      </c>
      <c r="C8" s="31" t="s">
        <v>28</v>
      </c>
      <c r="D8" s="33">
        <v>0</v>
      </c>
    </row>
    <row r="9" spans="1:8" x14ac:dyDescent="0.25">
      <c r="A9" t="str">
        <f t="shared" si="0"/>
        <v>MODERADO-PAPEL</v>
      </c>
      <c r="B9" t="s">
        <v>32</v>
      </c>
      <c r="C9" s="3" t="s">
        <v>23</v>
      </c>
      <c r="D9" s="32">
        <v>0.32</v>
      </c>
    </row>
    <row r="10" spans="1:8" x14ac:dyDescent="0.25">
      <c r="A10" t="str">
        <f t="shared" si="0"/>
        <v>MODERADO-TIJOLO</v>
      </c>
      <c r="B10" t="s">
        <v>32</v>
      </c>
      <c r="C10" s="3" t="s">
        <v>24</v>
      </c>
      <c r="D10" s="32">
        <v>0.35</v>
      </c>
    </row>
    <row r="11" spans="1:8" x14ac:dyDescent="0.25">
      <c r="A11" t="str">
        <f t="shared" si="0"/>
        <v>MODERADO-HÍBRIDOS</v>
      </c>
      <c r="B11" t="s">
        <v>32</v>
      </c>
      <c r="C11" s="3" t="s">
        <v>25</v>
      </c>
      <c r="D11" s="32">
        <v>0.08</v>
      </c>
    </row>
    <row r="12" spans="1:8" x14ac:dyDescent="0.25">
      <c r="A12" t="str">
        <f t="shared" si="0"/>
        <v>MODERADO-FOFs</v>
      </c>
      <c r="B12" t="s">
        <v>32</v>
      </c>
      <c r="C12" s="3" t="s">
        <v>26</v>
      </c>
      <c r="D12" s="32">
        <v>0.05</v>
      </c>
    </row>
    <row r="13" spans="1:8" x14ac:dyDescent="0.25">
      <c r="A13" t="str">
        <f t="shared" si="0"/>
        <v>MODERADO-DESENVOLVIMENTOS</v>
      </c>
      <c r="B13" t="s">
        <v>32</v>
      </c>
      <c r="C13" s="3" t="s">
        <v>27</v>
      </c>
      <c r="D13" s="32">
        <v>0.1</v>
      </c>
    </row>
    <row r="14" spans="1:8" ht="15.75" thickBot="1" x14ac:dyDescent="0.3">
      <c r="A14" s="30" t="str">
        <f t="shared" si="0"/>
        <v>MODERADO-HOTELARIAS</v>
      </c>
      <c r="B14" s="30" t="s">
        <v>32</v>
      </c>
      <c r="C14" s="31" t="s">
        <v>28</v>
      </c>
      <c r="D14" s="33">
        <v>0.1</v>
      </c>
    </row>
    <row r="15" spans="1:8" x14ac:dyDescent="0.25">
      <c r="A15" t="str">
        <f t="shared" si="0"/>
        <v>AGRESSIVO-PAPEL</v>
      </c>
      <c r="B15" t="s">
        <v>17</v>
      </c>
      <c r="C15" s="3" t="s">
        <v>23</v>
      </c>
      <c r="D15" s="32">
        <v>0.5</v>
      </c>
    </row>
    <row r="16" spans="1:8" x14ac:dyDescent="0.25">
      <c r="A16" t="str">
        <f t="shared" si="0"/>
        <v>AGRESSIVO-TIJOLO</v>
      </c>
      <c r="B16" t="s">
        <v>17</v>
      </c>
      <c r="C16" s="3" t="s">
        <v>24</v>
      </c>
      <c r="D16" s="32">
        <v>0.1</v>
      </c>
    </row>
    <row r="17" spans="1:4" x14ac:dyDescent="0.25">
      <c r="A17" t="str">
        <f t="shared" si="0"/>
        <v>AGRESSIVO-HÍBRIDOS</v>
      </c>
      <c r="B17" t="s">
        <v>17</v>
      </c>
      <c r="C17" s="3" t="s">
        <v>25</v>
      </c>
      <c r="D17" s="32">
        <v>0.05</v>
      </c>
    </row>
    <row r="18" spans="1:4" x14ac:dyDescent="0.25">
      <c r="A18" t="str">
        <f t="shared" si="0"/>
        <v>AGRESSIVO-FOFs</v>
      </c>
      <c r="B18" t="s">
        <v>17</v>
      </c>
      <c r="C18" s="3" t="s">
        <v>26</v>
      </c>
      <c r="D18" s="32">
        <v>0.05</v>
      </c>
    </row>
    <row r="19" spans="1:4" x14ac:dyDescent="0.25">
      <c r="A19" t="str">
        <f t="shared" si="0"/>
        <v>AGRESSIVO-DESENVOLVIMENTOS</v>
      </c>
      <c r="B19" t="s">
        <v>17</v>
      </c>
      <c r="C19" s="3" t="s">
        <v>27</v>
      </c>
      <c r="D19" s="32">
        <v>0.2</v>
      </c>
    </row>
    <row r="20" spans="1:4" x14ac:dyDescent="0.25">
      <c r="A20" t="str">
        <f t="shared" si="0"/>
        <v>AGRESSIVO-HOTELARIAS</v>
      </c>
      <c r="B20" t="s">
        <v>17</v>
      </c>
      <c r="C20" s="3" t="s">
        <v>28</v>
      </c>
      <c r="D20" s="3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Apoio_Perfis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2026-10-02T17:13:50Z</dcterms:created>
  <dcterms:modified xsi:type="dcterms:W3CDTF">2026-10-07T16:31:45Z</dcterms:modified>
</cp:coreProperties>
</file>